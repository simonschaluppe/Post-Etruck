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orangecosmos-my.sharepoint.com/personal/agumpetsberger_agorangecosmos_onmicrosoft_com/Documents/AG_orangecosmos/Projekte/Schlager_Trans/Autark_Speicher/"/>
    </mc:Choice>
  </mc:AlternateContent>
  <xr:revisionPtr revIDLastSave="0" documentId="8_{3AB78AAD-1632-4F5B-9E1A-EED27CF15758}" xr6:coauthVersionLast="47" xr6:coauthVersionMax="47" xr10:uidLastSave="{00000000-0000-0000-0000-000000000000}"/>
  <bookViews>
    <workbookView xWindow="-108" yWindow="-108" windowWidth="30936" windowHeight="12576" xr2:uid="{078EE5A5-60ED-44F5-9129-7EDED8558929}"/>
  </bookViews>
  <sheets>
    <sheet name="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9" i="1"/>
  <c r="B55" i="1" s="1"/>
</calcChain>
</file>

<file path=xl/sharedStrings.xml><?xml version="1.0" encoding="utf-8"?>
<sst xmlns="http://schemas.openxmlformats.org/spreadsheetml/2006/main" count="107" uniqueCount="83">
  <si>
    <t>Eckdaten PV und Speicher</t>
  </si>
  <si>
    <t>Annahmen</t>
  </si>
  <si>
    <t xml:space="preserve">Das Lastprofil/Strombedarf wurde  näherungsweise erstellt. Das tatsächliche Lastprofil kann davon abweichen. </t>
  </si>
  <si>
    <t xml:space="preserve">Angenommen wurde eine Fahrleistung von 350 km/Tag/LKW, bei einem Verbrauch von 0,85 kWh/km (Tagesverbrauch ~300 kWh). </t>
  </si>
  <si>
    <t xml:space="preserve">Strombedarf und Lastganganalyse </t>
  </si>
  <si>
    <t xml:space="preserve"> Strombedarfsberechnungen</t>
  </si>
  <si>
    <t xml:space="preserve">Strombedarf Gesamt 608 100 kWh/a </t>
  </si>
  <si>
    <t>Strombedarf Gebäude 60 000 kWh/a</t>
  </si>
  <si>
    <t>Strombedarf E-Mobilität 548 100 kWh/a</t>
  </si>
  <si>
    <t xml:space="preserve">Maximalwert im Lastgang 601,6 kW </t>
  </si>
  <si>
    <t>Nachgeladene km pro Jahr 108587,5 km/a/LKW</t>
  </si>
  <si>
    <t>Spez. Strombedarf E-Auto 85 kWh/100km</t>
  </si>
  <si>
    <t xml:space="preserve">Volllaststunden 1 011 h </t>
  </si>
  <si>
    <t>Erworbene Netzbereitstellung 400,0 kW</t>
  </si>
  <si>
    <t>PV-Infrastruktur</t>
  </si>
  <si>
    <t>PV Bestand (IST)</t>
  </si>
  <si>
    <t>197,00 kWp</t>
  </si>
  <si>
    <t>PV Neu</t>
  </si>
  <si>
    <t>200,00 kWp</t>
  </si>
  <si>
    <t>PV Gesamt</t>
  </si>
  <si>
    <t xml:space="preserve">397,00 kWp </t>
  </si>
  <si>
    <t>PV-Ausrichtung und Erzeugung</t>
  </si>
  <si>
    <t>Spezifischer PV-Ertrag</t>
  </si>
  <si>
    <t>1 000 kWh/kWp</t>
  </si>
  <si>
    <t>PV-Erzeugung</t>
  </si>
  <si>
    <t>397 000 kWh</t>
  </si>
  <si>
    <t>Speicherdaten (Annahmen)</t>
  </si>
  <si>
    <t>Kapazität</t>
  </si>
  <si>
    <t>1074,6 kWh</t>
  </si>
  <si>
    <t>Leistung</t>
  </si>
  <si>
    <t>450 kW</t>
  </si>
  <si>
    <t>Vollzyklen PV-Eigenverbrauch</t>
  </si>
  <si>
    <t>164 pro Jahr</t>
  </si>
  <si>
    <t>Vollzyklen Lastkappung</t>
  </si>
  <si>
    <t>153 pro Jahr</t>
  </si>
  <si>
    <t>Vollzyklen Spotmarkt</t>
  </si>
  <si>
    <t>0 pro Jahr</t>
  </si>
  <si>
    <t>Vollzyklen Gesamt</t>
  </si>
  <si>
    <t>317 pro Jahr</t>
  </si>
  <si>
    <t>PV-Direktverbrauch</t>
  </si>
  <si>
    <t>- 162 503 kWh</t>
  </si>
  <si>
    <t>Speicher</t>
  </si>
  <si>
    <t>- 176 146 kWh</t>
  </si>
  <si>
    <t>Netzbezug</t>
  </si>
  <si>
    <t>269 451 kWh</t>
  </si>
  <si>
    <t>Wirtschaftlichkeit</t>
  </si>
  <si>
    <t>Strompreis (exkl. Ust)</t>
  </si>
  <si>
    <t>EUR/kWh</t>
  </si>
  <si>
    <t>Stromhandel Spotmarkt</t>
  </si>
  <si>
    <t>Einspeisevergütung</t>
  </si>
  <si>
    <t>Strompreis Ladestationen LKW</t>
  </si>
  <si>
    <t>Strompreissteigerung in %</t>
  </si>
  <si>
    <t>Kalkulationszinssatz in % p.a.</t>
  </si>
  <si>
    <t>Investitionskosten</t>
  </si>
  <si>
    <t>PV</t>
  </si>
  <si>
    <t>€</t>
  </si>
  <si>
    <t>Ladestation</t>
  </si>
  <si>
    <t>Netzbetreiberverrechnungspauschale</t>
  </si>
  <si>
    <t>Errichtungskosten (Verkabelung, Montage)</t>
  </si>
  <si>
    <t>exkl. Fundament, Blitzschutz etc.</t>
  </si>
  <si>
    <t>Gesamtinvestition</t>
  </si>
  <si>
    <t>Maximale EAG-Förderung PV</t>
  </si>
  <si>
    <t>Maximale EAG-Förderung Speicher</t>
  </si>
  <si>
    <t>Ladestationen KPC</t>
  </si>
  <si>
    <t>Summe Förderung</t>
  </si>
  <si>
    <t>Investition abzgl. Förderung</t>
  </si>
  <si>
    <t>Ersatzinvestitionen</t>
  </si>
  <si>
    <t>% von Gesamtinvestition</t>
  </si>
  <si>
    <t>Jährliche Einsparungen</t>
  </si>
  <si>
    <t>PV Direktverbrauch</t>
  </si>
  <si>
    <t>Speicher Eigenstrom &amp; Lastspitzen</t>
  </si>
  <si>
    <t>Einnahmen Spotmarkt</t>
  </si>
  <si>
    <t>Einnahmen Ladestationen</t>
  </si>
  <si>
    <t xml:space="preserve">Einnahmen Energiegemeinschaft </t>
  </si>
  <si>
    <t>Energiemanagement &amp; Fernwartung</t>
  </si>
  <si>
    <t>Jährliche Ersparnis im 1. Jahr</t>
  </si>
  <si>
    <t>Rendite (IIR)</t>
  </si>
  <si>
    <t>% p.a.</t>
  </si>
  <si>
    <t>Amortisation</t>
  </si>
  <si>
    <t>Jahre</t>
  </si>
  <si>
    <t>Gewinn nach 25 Jahren</t>
  </si>
  <si>
    <r>
      <t>CO</t>
    </r>
    <r>
      <rPr>
        <sz val="7"/>
        <color rgb="FF3C3C3B"/>
        <rFont val="Calibri"/>
        <family val="2"/>
        <scheme val="minor"/>
      </rPr>
      <t>2</t>
    </r>
    <r>
      <rPr>
        <sz val="10.5"/>
        <color rgb="FF3C3C3B"/>
        <rFont val="Calibri"/>
        <family val="2"/>
        <scheme val="minor"/>
      </rPr>
      <t>-Einsparung</t>
    </r>
  </si>
  <si>
    <t>Stromaufbringung 0,258 kg_CO2/kWh; Autofahrten 0,13 kg_CO2/km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</si>
</sst>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3C3C3B"/>
      <name val="Calibri"/>
      <family val="2"/>
      <scheme val="minor"/>
    </font>
    <font>
      <b/>
      <sz val="11"/>
      <color rgb="FF3C3C3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0.5"/>
      <color rgb="FF3C3C3B"/>
      <name val="Calibri"/>
      <family val="2"/>
      <scheme val="minor"/>
    </font>
    <font>
      <sz val="7"/>
      <color rgb="FF3C3C3B"/>
      <name val="Calibri"/>
      <family val="2"/>
      <scheme val="minor"/>
    </font>
    <font>
      <sz val="6"/>
      <color rgb="FF3C3C3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3C3C3B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0" fillId="0" borderId="10" xfId="0" applyBorder="1"/>
    <xf numFmtId="3" fontId="0" fillId="0" borderId="10" xfId="0" applyNumberFormat="1" applyBorder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D16B-6517-4056-BB8F-510B22F7E75A}">
  <dimension ref="A1:E78"/>
  <sheetViews>
    <sheetView tabSelected="1" workbookViewId="0">
      <selection activeCell="A2" sqref="A2"/>
    </sheetView>
  </sheetViews>
  <sheetFormatPr baseColWidth="10" defaultRowHeight="14.4" x14ac:dyDescent="0.3"/>
  <cols>
    <col min="1" max="1" width="38.6640625" customWidth="1"/>
    <col min="2" max="2" width="20.109375" customWidth="1"/>
    <col min="3" max="3" width="35.44140625" customWidth="1"/>
  </cols>
  <sheetData>
    <row r="1" spans="1:4" ht="18" x14ac:dyDescent="0.35">
      <c r="A1" s="1" t="s">
        <v>0</v>
      </c>
      <c r="B1" s="1"/>
    </row>
    <row r="2" spans="1:4" x14ac:dyDescent="0.3">
      <c r="A2" s="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6" spans="1:4" x14ac:dyDescent="0.3">
      <c r="A6" s="3" t="s">
        <v>4</v>
      </c>
      <c r="B6" s="4"/>
      <c r="C6" s="4" t="s">
        <v>5</v>
      </c>
      <c r="D6" s="5"/>
    </row>
    <row r="7" spans="1:4" x14ac:dyDescent="0.3">
      <c r="A7" s="6" t="s">
        <v>6</v>
      </c>
      <c r="C7" t="s">
        <v>7</v>
      </c>
      <c r="D7" s="7"/>
    </row>
    <row r="8" spans="1:4" x14ac:dyDescent="0.3">
      <c r="A8" s="6"/>
      <c r="C8" t="s">
        <v>8</v>
      </c>
      <c r="D8" s="7"/>
    </row>
    <row r="9" spans="1:4" x14ac:dyDescent="0.3">
      <c r="A9" s="6" t="s">
        <v>9</v>
      </c>
      <c r="C9" t="s">
        <v>10</v>
      </c>
      <c r="D9" s="7"/>
    </row>
    <row r="10" spans="1:4" x14ac:dyDescent="0.3">
      <c r="A10" s="6"/>
      <c r="C10" t="s">
        <v>11</v>
      </c>
      <c r="D10" s="7"/>
    </row>
    <row r="11" spans="1:4" x14ac:dyDescent="0.3">
      <c r="A11" s="8" t="s">
        <v>12</v>
      </c>
      <c r="B11" s="9"/>
      <c r="C11" s="9" t="s">
        <v>13</v>
      </c>
      <c r="D11" s="10"/>
    </row>
    <row r="13" spans="1:4" x14ac:dyDescent="0.3">
      <c r="A13" s="11" t="s">
        <v>14</v>
      </c>
    </row>
    <row r="14" spans="1:4" x14ac:dyDescent="0.3">
      <c r="A14" s="12" t="s">
        <v>15</v>
      </c>
      <c r="B14" s="13" t="s">
        <v>16</v>
      </c>
    </row>
    <row r="15" spans="1:4" ht="15" thickBot="1" x14ac:dyDescent="0.35">
      <c r="A15" s="14" t="s">
        <v>17</v>
      </c>
      <c r="B15" s="15" t="s">
        <v>18</v>
      </c>
    </row>
    <row r="16" spans="1:4" ht="15" thickTop="1" x14ac:dyDescent="0.3">
      <c r="A16" s="16" t="s">
        <v>19</v>
      </c>
      <c r="B16" s="17" t="s">
        <v>20</v>
      </c>
    </row>
    <row r="17" spans="1:5" x14ac:dyDescent="0.3">
      <c r="A17" s="18"/>
      <c r="B17" s="18"/>
      <c r="C17" s="18"/>
      <c r="D17" s="16"/>
      <c r="E17" s="19"/>
    </row>
    <row r="18" spans="1:5" x14ac:dyDescent="0.3">
      <c r="A18" s="11" t="s">
        <v>21</v>
      </c>
    </row>
    <row r="19" spans="1:5" x14ac:dyDescent="0.3">
      <c r="A19" s="20" t="s">
        <v>22</v>
      </c>
      <c r="B19" s="20" t="s">
        <v>23</v>
      </c>
    </row>
    <row r="20" spans="1:5" x14ac:dyDescent="0.3">
      <c r="A20" s="20" t="s">
        <v>24</v>
      </c>
      <c r="B20" s="20" t="s">
        <v>25</v>
      </c>
    </row>
    <row r="22" spans="1:5" x14ac:dyDescent="0.3">
      <c r="A22" s="21" t="s">
        <v>26</v>
      </c>
    </row>
    <row r="23" spans="1:5" x14ac:dyDescent="0.3">
      <c r="A23" t="s">
        <v>27</v>
      </c>
      <c r="B23" t="s">
        <v>28</v>
      </c>
    </row>
    <row r="24" spans="1:5" x14ac:dyDescent="0.3">
      <c r="A24" t="s">
        <v>29</v>
      </c>
      <c r="B24" t="s">
        <v>30</v>
      </c>
    </row>
    <row r="25" spans="1:5" x14ac:dyDescent="0.3">
      <c r="A25" t="s">
        <v>31</v>
      </c>
      <c r="B25" t="s">
        <v>32</v>
      </c>
    </row>
    <row r="26" spans="1:5" x14ac:dyDescent="0.3">
      <c r="A26" t="s">
        <v>33</v>
      </c>
      <c r="B26" t="s">
        <v>34</v>
      </c>
    </row>
    <row r="27" spans="1:5" x14ac:dyDescent="0.3">
      <c r="A27" t="s">
        <v>35</v>
      </c>
      <c r="B27" t="s">
        <v>36</v>
      </c>
    </row>
    <row r="28" spans="1:5" x14ac:dyDescent="0.3">
      <c r="A28" t="s">
        <v>37</v>
      </c>
      <c r="B28" t="s">
        <v>38</v>
      </c>
    </row>
    <row r="30" spans="1:5" x14ac:dyDescent="0.3">
      <c r="A30" s="12" t="s">
        <v>39</v>
      </c>
      <c r="B30" s="13" t="s">
        <v>40</v>
      </c>
    </row>
    <row r="31" spans="1:5" ht="15" thickBot="1" x14ac:dyDescent="0.35">
      <c r="A31" s="14" t="s">
        <v>41</v>
      </c>
      <c r="B31" s="15" t="s">
        <v>42</v>
      </c>
    </row>
    <row r="32" spans="1:5" ht="15" thickTop="1" x14ac:dyDescent="0.3">
      <c r="A32" s="16" t="s">
        <v>43</v>
      </c>
      <c r="B32" s="17" t="s">
        <v>44</v>
      </c>
    </row>
    <row r="34" spans="1:4" x14ac:dyDescent="0.3">
      <c r="A34" s="22" t="s">
        <v>45</v>
      </c>
    </row>
    <row r="35" spans="1:4" x14ac:dyDescent="0.3">
      <c r="A35" t="s">
        <v>46</v>
      </c>
      <c r="B35" s="23"/>
      <c r="C35" t="s">
        <v>47</v>
      </c>
    </row>
    <row r="36" spans="1:4" x14ac:dyDescent="0.3">
      <c r="A36" t="s">
        <v>48</v>
      </c>
      <c r="B36" s="23"/>
      <c r="C36" t="s">
        <v>47</v>
      </c>
    </row>
    <row r="37" spans="1:4" x14ac:dyDescent="0.3">
      <c r="A37" t="s">
        <v>49</v>
      </c>
      <c r="C37" t="s">
        <v>47</v>
      </c>
    </row>
    <row r="38" spans="1:4" x14ac:dyDescent="0.3">
      <c r="A38" t="s">
        <v>50</v>
      </c>
      <c r="B38" s="23">
        <v>0</v>
      </c>
      <c r="C38" t="s">
        <v>47</v>
      </c>
    </row>
    <row r="39" spans="1:4" x14ac:dyDescent="0.3">
      <c r="B39" s="23"/>
    </row>
    <row r="40" spans="1:4" x14ac:dyDescent="0.3">
      <c r="A40" t="s">
        <v>51</v>
      </c>
      <c r="B40" s="24"/>
    </row>
    <row r="41" spans="1:4" x14ac:dyDescent="0.3">
      <c r="A41" t="s">
        <v>52</v>
      </c>
      <c r="B41" s="24"/>
    </row>
    <row r="43" spans="1:4" x14ac:dyDescent="0.3">
      <c r="A43" s="22" t="s">
        <v>53</v>
      </c>
    </row>
    <row r="44" spans="1:4" x14ac:dyDescent="0.3">
      <c r="A44" t="s">
        <v>54</v>
      </c>
      <c r="B44" s="25"/>
      <c r="C44" t="s">
        <v>55</v>
      </c>
    </row>
    <row r="45" spans="1:4" x14ac:dyDescent="0.3">
      <c r="A45" t="s">
        <v>41</v>
      </c>
      <c r="B45" s="25"/>
      <c r="C45" t="s">
        <v>55</v>
      </c>
    </row>
    <row r="46" spans="1:4" x14ac:dyDescent="0.3">
      <c r="A46" t="s">
        <v>56</v>
      </c>
      <c r="B46" s="25"/>
      <c r="C46" t="s">
        <v>55</v>
      </c>
    </row>
    <row r="47" spans="1:4" x14ac:dyDescent="0.3">
      <c r="A47" t="s">
        <v>57</v>
      </c>
      <c r="B47" s="25"/>
      <c r="C47" t="s">
        <v>55</v>
      </c>
    </row>
    <row r="48" spans="1:4" ht="15" thickBot="1" x14ac:dyDescent="0.35">
      <c r="A48" s="26" t="s">
        <v>58</v>
      </c>
      <c r="B48" s="27"/>
      <c r="C48" t="s">
        <v>55</v>
      </c>
      <c r="D48" t="s">
        <v>59</v>
      </c>
    </row>
    <row r="49" spans="1:3" x14ac:dyDescent="0.3">
      <c r="A49" t="s">
        <v>60</v>
      </c>
      <c r="B49" s="25">
        <f>SUM(B44:B48)</f>
        <v>0</v>
      </c>
      <c r="C49" t="s">
        <v>55</v>
      </c>
    </row>
    <row r="51" spans="1:3" x14ac:dyDescent="0.3">
      <c r="A51" t="s">
        <v>61</v>
      </c>
      <c r="B51" s="25"/>
      <c r="C51" t="s">
        <v>55</v>
      </c>
    </row>
    <row r="52" spans="1:3" x14ac:dyDescent="0.3">
      <c r="A52" t="s">
        <v>62</v>
      </c>
      <c r="B52" s="25"/>
      <c r="C52" t="s">
        <v>55</v>
      </c>
    </row>
    <row r="53" spans="1:3" x14ac:dyDescent="0.3">
      <c r="A53" t="s">
        <v>63</v>
      </c>
      <c r="B53" s="25"/>
      <c r="C53" t="s">
        <v>55</v>
      </c>
    </row>
    <row r="54" spans="1:3" ht="15" thickBot="1" x14ac:dyDescent="0.35">
      <c r="A54" s="26" t="s">
        <v>64</v>
      </c>
      <c r="B54" s="27"/>
      <c r="C54" t="s">
        <v>55</v>
      </c>
    </row>
    <row r="55" spans="1:3" x14ac:dyDescent="0.3">
      <c r="A55" t="s">
        <v>65</v>
      </c>
      <c r="B55" s="25">
        <f>B49+B54</f>
        <v>0</v>
      </c>
      <c r="C55" t="s">
        <v>55</v>
      </c>
    </row>
    <row r="57" spans="1:3" x14ac:dyDescent="0.3">
      <c r="A57" t="s">
        <v>66</v>
      </c>
      <c r="B57">
        <v>15</v>
      </c>
      <c r="C57" t="s">
        <v>67</v>
      </c>
    </row>
    <row r="60" spans="1:3" x14ac:dyDescent="0.3">
      <c r="A60" s="22" t="s">
        <v>68</v>
      </c>
    </row>
    <row r="62" spans="1:3" x14ac:dyDescent="0.3">
      <c r="A62" t="s">
        <v>69</v>
      </c>
      <c r="B62" s="25"/>
      <c r="C62" t="s">
        <v>55</v>
      </c>
    </row>
    <row r="63" spans="1:3" x14ac:dyDescent="0.3">
      <c r="A63" t="s">
        <v>70</v>
      </c>
      <c r="B63" s="25"/>
      <c r="C63" t="s">
        <v>55</v>
      </c>
    </row>
    <row r="64" spans="1:3" x14ac:dyDescent="0.3">
      <c r="A64" t="s">
        <v>71</v>
      </c>
      <c r="B64" s="25"/>
      <c r="C64" t="s">
        <v>55</v>
      </c>
    </row>
    <row r="65" spans="1:3" x14ac:dyDescent="0.3">
      <c r="A65" t="s">
        <v>49</v>
      </c>
      <c r="B65" s="25"/>
      <c r="C65" t="s">
        <v>55</v>
      </c>
    </row>
    <row r="66" spans="1:3" x14ac:dyDescent="0.3">
      <c r="A66" t="s">
        <v>72</v>
      </c>
      <c r="B66" s="25"/>
      <c r="C66" t="s">
        <v>55</v>
      </c>
    </row>
    <row r="67" spans="1:3" x14ac:dyDescent="0.3">
      <c r="A67" t="s">
        <v>73</v>
      </c>
      <c r="B67" s="25"/>
      <c r="C67" t="s">
        <v>55</v>
      </c>
    </row>
    <row r="68" spans="1:3" ht="15" thickBot="1" x14ac:dyDescent="0.35">
      <c r="A68" s="26" t="s">
        <v>74</v>
      </c>
      <c r="B68" s="27"/>
      <c r="C68" t="s">
        <v>55</v>
      </c>
    </row>
    <row r="69" spans="1:3" x14ac:dyDescent="0.3">
      <c r="A69" t="s">
        <v>75</v>
      </c>
      <c r="B69" s="25">
        <f>SUM(B62:B68)</f>
        <v>0</v>
      </c>
      <c r="C69" t="s">
        <v>55</v>
      </c>
    </row>
    <row r="75" spans="1:3" x14ac:dyDescent="0.3">
      <c r="A75" t="s">
        <v>76</v>
      </c>
      <c r="C75" t="s">
        <v>77</v>
      </c>
    </row>
    <row r="76" spans="1:3" x14ac:dyDescent="0.3">
      <c r="A76" s="28" t="s">
        <v>78</v>
      </c>
      <c r="B76" s="28"/>
      <c r="C76" t="s">
        <v>79</v>
      </c>
    </row>
    <row r="77" spans="1:3" x14ac:dyDescent="0.3">
      <c r="A77" s="28" t="s">
        <v>80</v>
      </c>
      <c r="B77" s="28"/>
      <c r="C77" t="s">
        <v>55</v>
      </c>
    </row>
    <row r="78" spans="1:3" x14ac:dyDescent="0.3">
      <c r="A78" s="28" t="s">
        <v>81</v>
      </c>
      <c r="B78" s="28"/>
      <c r="C78" s="29" t="s">
        <v>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Gumpetsberger</dc:creator>
  <cp:lastModifiedBy>Andreas Gumpetsberger orangecosmos</cp:lastModifiedBy>
  <dcterms:created xsi:type="dcterms:W3CDTF">2023-08-18T09:08:01Z</dcterms:created>
  <dcterms:modified xsi:type="dcterms:W3CDTF">2023-08-18T09:08:39Z</dcterms:modified>
</cp:coreProperties>
</file>