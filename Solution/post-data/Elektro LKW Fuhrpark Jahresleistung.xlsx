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icherung 090423\autark.me\Interessenten\Neuer Ordner\"/>
    </mc:Choice>
  </mc:AlternateContent>
  <xr:revisionPtr revIDLastSave="0" documentId="8_{77580E63-9EA1-4D92-A47A-07FE8CE78422}" xr6:coauthVersionLast="47" xr6:coauthVersionMax="47" xr10:uidLastSave="{00000000-0000-0000-0000-000000000000}"/>
  <bookViews>
    <workbookView xWindow="-103" yWindow="-103" windowWidth="22149" windowHeight="13200" xr2:uid="{6B133D86-16F4-41AF-958A-E7C453F246C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5" i="1" l="1"/>
  <c r="D43" i="1"/>
  <c r="D45" i="1" s="1"/>
  <c r="E43" i="1"/>
  <c r="E45" i="1" s="1"/>
  <c r="B43" i="1"/>
  <c r="C41" i="1"/>
  <c r="C43" i="1" s="1"/>
  <c r="C45" i="1" s="1"/>
  <c r="D41" i="1"/>
  <c r="E41" i="1"/>
  <c r="F41" i="1"/>
  <c r="F43" i="1" s="1"/>
  <c r="F45" i="1" s="1"/>
  <c r="G41" i="1"/>
  <c r="G43" i="1" s="1"/>
  <c r="G45" i="1" s="1"/>
  <c r="H41" i="1"/>
  <c r="H43" i="1" s="1"/>
  <c r="H45" i="1" s="1"/>
  <c r="I41" i="1"/>
  <c r="I43" i="1" s="1"/>
  <c r="I45" i="1" s="1"/>
  <c r="B41" i="1"/>
  <c r="C39" i="1"/>
  <c r="D39" i="1"/>
  <c r="E39" i="1"/>
  <c r="F39" i="1"/>
  <c r="G39" i="1"/>
  <c r="H39" i="1"/>
  <c r="I39" i="1"/>
  <c r="J39" i="1"/>
  <c r="J41" i="1" s="1"/>
  <c r="J43" i="1" s="1"/>
  <c r="J45" i="1" s="1"/>
  <c r="K39" i="1"/>
  <c r="K41" i="1" s="1"/>
  <c r="K43" i="1" s="1"/>
  <c r="K45" i="1" s="1"/>
  <c r="L39" i="1"/>
  <c r="L41" i="1" s="1"/>
  <c r="L43" i="1" s="1"/>
  <c r="L45" i="1" s="1"/>
  <c r="M39" i="1"/>
  <c r="M41" i="1" s="1"/>
  <c r="M43" i="1" s="1"/>
  <c r="M45" i="1" s="1"/>
  <c r="B39" i="1"/>
  <c r="C10" i="1"/>
  <c r="D10" i="1"/>
  <c r="E10" i="1"/>
  <c r="N17" i="1"/>
  <c r="N18" i="1"/>
  <c r="N19" i="1"/>
  <c r="N20" i="1"/>
  <c r="N21" i="1"/>
  <c r="N16" i="1"/>
  <c r="C24" i="1"/>
  <c r="C26" i="1" s="1"/>
  <c r="C28" i="1" s="1"/>
  <c r="D24" i="1"/>
  <c r="D26" i="1" s="1"/>
  <c r="D28" i="1" s="1"/>
  <c r="E24" i="1"/>
  <c r="E26" i="1" s="1"/>
  <c r="E28" i="1" s="1"/>
  <c r="F24" i="1"/>
  <c r="F26" i="1" s="1"/>
  <c r="F28" i="1" s="1"/>
  <c r="K24" i="1"/>
  <c r="K26" i="1" s="1"/>
  <c r="K28" i="1" s="1"/>
  <c r="L24" i="1"/>
  <c r="L26" i="1" s="1"/>
  <c r="L28" i="1" s="1"/>
  <c r="M24" i="1"/>
  <c r="M26" i="1" s="1"/>
  <c r="M28" i="1" s="1"/>
  <c r="B24" i="1"/>
  <c r="C22" i="1"/>
  <c r="D22" i="1"/>
  <c r="E22" i="1"/>
  <c r="N22" i="1" s="1"/>
  <c r="F22" i="1"/>
  <c r="G22" i="1"/>
  <c r="G24" i="1" s="1"/>
  <c r="G26" i="1" s="1"/>
  <c r="G28" i="1" s="1"/>
  <c r="H22" i="1"/>
  <c r="H24" i="1" s="1"/>
  <c r="H26" i="1" s="1"/>
  <c r="H28" i="1" s="1"/>
  <c r="I22" i="1"/>
  <c r="I24" i="1" s="1"/>
  <c r="I26" i="1" s="1"/>
  <c r="I28" i="1" s="1"/>
  <c r="J22" i="1"/>
  <c r="J24" i="1" s="1"/>
  <c r="J26" i="1" s="1"/>
  <c r="J28" i="1" s="1"/>
  <c r="K22" i="1"/>
  <c r="L22" i="1"/>
  <c r="M22" i="1"/>
  <c r="B22" i="1"/>
  <c r="C8" i="1"/>
  <c r="D8" i="1"/>
  <c r="E8" i="1"/>
  <c r="F8" i="1"/>
  <c r="F10" i="1" s="1"/>
  <c r="G8" i="1"/>
  <c r="G10" i="1" s="1"/>
  <c r="H8" i="1"/>
  <c r="H10" i="1" s="1"/>
  <c r="I8" i="1"/>
  <c r="I10" i="1" s="1"/>
  <c r="J8" i="1"/>
  <c r="J10" i="1" s="1"/>
  <c r="K8" i="1"/>
  <c r="K10" i="1" s="1"/>
  <c r="L8" i="1"/>
  <c r="L10" i="1" s="1"/>
  <c r="M8" i="1"/>
  <c r="M10" i="1" s="1"/>
  <c r="B8" i="1"/>
  <c r="B10" i="1" s="1"/>
  <c r="C6" i="1"/>
  <c r="D6" i="1"/>
  <c r="E6" i="1"/>
  <c r="F6" i="1"/>
  <c r="G6" i="1"/>
  <c r="H6" i="1"/>
  <c r="I6" i="1"/>
  <c r="J6" i="1"/>
  <c r="K6" i="1"/>
  <c r="L6" i="1"/>
  <c r="M6" i="1"/>
  <c r="B6" i="1"/>
  <c r="N4" i="1"/>
  <c r="N6" i="1" s="1"/>
  <c r="N24" i="1" l="1"/>
  <c r="P9" i="1" s="1"/>
  <c r="B26" i="1"/>
  <c r="N26" i="1" l="1"/>
  <c r="B28" i="1"/>
</calcChain>
</file>

<file path=xl/sharedStrings.xml><?xml version="1.0" encoding="utf-8"?>
<sst xmlns="http://schemas.openxmlformats.org/spreadsheetml/2006/main" count="101" uniqueCount="54">
  <si>
    <t>KM Verteilung Jahresleistung Schlager Transport Logistik Berechnung für Elektro LKW</t>
  </si>
  <si>
    <t>Nachttransporte</t>
  </si>
  <si>
    <t>Tagtransporte Betankung am Firmengelände</t>
  </si>
  <si>
    <t>Austrodach St. Valentin</t>
  </si>
  <si>
    <t>Tagtransporte Auswärts Betankung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</si>
  <si>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</si>
  <si>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</si>
  <si>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</si>
  <si>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</si>
  <si>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</si>
  <si>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</si>
  <si>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</si>
  <si>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</si>
  <si>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</si>
  <si>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</si>
  <si>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</si>
  <si>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</si>
  <si>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KM KW/H Verbrauch 0,85</t>
  </si>
  <si>
    <t>KW Verbrauch Monat</t>
  </si>
  <si>
    <t>Mediaprint KM Leistung monatlich</t>
  </si>
  <si>
    <t>Einsatztage</t>
  </si>
  <si>
    <t>Gesamt</t>
  </si>
  <si>
    <t>Transdanubia</t>
  </si>
  <si>
    <t>Geb. Weiss</t>
  </si>
  <si>
    <t>Förster</t>
  </si>
  <si>
    <t>Synthesa</t>
  </si>
  <si>
    <t>Sonstige</t>
  </si>
  <si>
    <t>KM Gesamt Monat</t>
  </si>
  <si>
    <t>KM Verbrauch Tageseinsatz 0,98 KW</t>
  </si>
  <si>
    <t>Täglicher Ladebedarf KW Montag bis Freitag</t>
  </si>
  <si>
    <t>Diese Transporte werden von Montag bis Freitag durchgeführt es handelt sich um 15 LKW von welchen 5 auch am Abend eingesetzt werden</t>
  </si>
  <si>
    <t>Hier fahren wir 365 Tage im Jahr, Insgesamt sind hier 7 Fahrzeuge im Einsatz das Ladefenster der Fahrzeuge ist bei 5 Fahrzeugen von 02:30 - 6 Uhr da mussen diese wieder Vollgeladen sein</t>
  </si>
  <si>
    <t>Fahrzeuganzahl</t>
  </si>
  <si>
    <t>Täglicher Ladebedarf je Fahrzeug</t>
  </si>
  <si>
    <t>Bei den 5 LKW welche am Abend auch fahren haben wir ein Ladezeitfenster von 15-17 Uhr bis Abfahrtszeit 19 Uhr</t>
  </si>
  <si>
    <t>Die anderen 10 LKW kommen zwischen 15 und 19 Uhr zurück und müssen um 6 Uhr morgens wieder vollgeladen sein.</t>
  </si>
  <si>
    <t>Die anderen 2 Fahrzeuge können über Tags geladen werden an Samstagen und Sonntagen stehen die Fahrzeuge Ganztags zum Laden bereit (Direkt von PV)</t>
  </si>
  <si>
    <t>in Firma nicht möglich</t>
  </si>
  <si>
    <t>Herzogenburg</t>
  </si>
  <si>
    <t>Bergheim</t>
  </si>
  <si>
    <t>Diese sind für unsere Speicherberechnung nicht relevant da nicht am Firmenstandort betankt wird.</t>
  </si>
  <si>
    <t>Wie besprochen beginnen wir nur mit den 5 LKW welche 365 Tag am Abend eingesetzt werden und wir mit 3 von diesen auch einen Tageseinsatz realisieren möchten</t>
  </si>
  <si>
    <t>Es wird im ersten Schritt dann ein KW Verbrauch im Jahr von 580.000 KW erwartet</t>
  </si>
  <si>
    <t>Erwartete KW Verbrauch des Fuhrparks nur am Firmenstandort</t>
  </si>
  <si>
    <t>Derzeitige Ausgangsbasis</t>
  </si>
  <si>
    <t>192 KWp am Dach</t>
  </si>
  <si>
    <t>200 KWp beantragt</t>
  </si>
  <si>
    <t>Sinnvolle Speichergröße ? um einen wirtschaftlichen Betrieb des Elektro LKW Fuhrpark gewährleisten zu können</t>
  </si>
  <si>
    <t>PV Erzeugung 192 kWp seid 05.05.2022</t>
  </si>
  <si>
    <t>Es wird eine ab September 2023 eine 150 kW öffendliche Ladesäule auch betrieben von der wir keine Erfahrung haben wie diese angenommen werden wird.</t>
  </si>
  <si>
    <t>Täglicher Ladebedarf KW  MO-SO</t>
  </si>
  <si>
    <t>Täglicher Ladebedarf KW  MO-FR</t>
  </si>
  <si>
    <t>Täglicher Ladebedarf KW  Mo-FR</t>
  </si>
  <si>
    <t>60000 KW Grundlast haben wir übers Jahr mit den Gebäuden ist sehr Konstant durchschnittlich 5000 KW im Monat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</si>
</sst>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" fontId="0" fillId="2" borderId="5" xfId="0" applyNumberFormat="1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7" xfId="0" applyFill="1" applyBorder="1"/>
    <xf numFmtId="0" fontId="0" fillId="0" borderId="8" xfId="0" applyBorder="1"/>
    <xf numFmtId="0" fontId="0" fillId="0" borderId="7" xfId="0" applyBorder="1"/>
    <xf numFmtId="3" fontId="0" fillId="0" borderId="0" xfId="0" applyNumberFormat="1"/>
    <xf numFmtId="3" fontId="0" fillId="2" borderId="9" xfId="0" applyNumberFormat="1" applyFill="1" applyBorder="1"/>
    <xf numFmtId="3" fontId="0" fillId="2" borderId="10" xfId="0" applyNumberFormat="1" applyFill="1" applyBorder="1"/>
    <xf numFmtId="3" fontId="0" fillId="2" borderId="11" xfId="0" applyNumberFormat="1" applyFill="1" applyBorder="1"/>
    <xf numFmtId="1" fontId="0" fillId="2" borderId="9" xfId="0" applyNumberFormat="1" applyFill="1" applyBorder="1"/>
    <xf numFmtId="1" fontId="0" fillId="2" borderId="10" xfId="0" applyNumberFormat="1" applyFill="1" applyBorder="1"/>
    <xf numFmtId="1" fontId="0" fillId="2" borderId="11" xfId="0" applyNumberFormat="1" applyFill="1" applyBorder="1"/>
    <xf numFmtId="0" fontId="0" fillId="2" borderId="4" xfId="0" applyFill="1" applyBorder="1"/>
    <xf numFmtId="0" fontId="0" fillId="0" borderId="6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697F-34C9-40A9-AD7F-AE19014CB11E}">
  <dimension ref="A1:X55"/>
  <sheetViews>
    <sheetView tabSelected="1" zoomScale="77" zoomScaleNormal="77" workbookViewId="0">
      <selection activeCell="O26" sqref="O26"/>
    </sheetView>
  </sheetViews>
  <sheetFormatPr baseColWidth="10" defaultRowHeight="14.6" x14ac:dyDescent="0.4"/>
  <cols>
    <col min="1" max="1" width="40.3828125" customWidth="1"/>
    <col min="16" max="16" width="11.69140625" bestFit="1" customWidth="1"/>
  </cols>
  <sheetData>
    <row r="1" spans="1:24" x14ac:dyDescent="0.4">
      <c r="A1" t="s">
        <v>0</v>
      </c>
    </row>
    <row r="2" spans="1:24" ht="15" thickBot="1" x14ac:dyDescent="0.45"/>
    <row r="3" spans="1:24" x14ac:dyDescent="0.4">
      <c r="A3" s="4" t="s">
        <v>1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6" t="s">
        <v>16</v>
      </c>
      <c r="N3" s="1" t="s">
        <v>21</v>
      </c>
      <c r="P3" t="s">
        <v>41</v>
      </c>
    </row>
    <row r="4" spans="1:24" x14ac:dyDescent="0.4">
      <c r="A4" s="7" t="s">
        <v>19</v>
      </c>
      <c r="B4">
        <v>68000</v>
      </c>
      <c r="C4">
        <v>61000</v>
      </c>
      <c r="D4">
        <v>66000</v>
      </c>
      <c r="E4">
        <v>63000</v>
      </c>
      <c r="F4">
        <v>65000</v>
      </c>
      <c r="G4">
        <v>64000</v>
      </c>
      <c r="H4">
        <v>64000</v>
      </c>
      <c r="I4">
        <v>62000</v>
      </c>
      <c r="J4">
        <v>60000</v>
      </c>
      <c r="K4">
        <v>68000</v>
      </c>
      <c r="L4">
        <v>65000</v>
      </c>
      <c r="M4" s="8">
        <v>68000</v>
      </c>
      <c r="N4" s="1">
        <f>SUM(B4:M4)</f>
        <v>774000</v>
      </c>
      <c r="P4" t="s">
        <v>42</v>
      </c>
    </row>
    <row r="5" spans="1:24" x14ac:dyDescent="0.4">
      <c r="A5" s="7" t="s">
        <v>17</v>
      </c>
      <c r="B5">
        <v>0.85</v>
      </c>
      <c r="C5">
        <v>0.85</v>
      </c>
      <c r="D5">
        <v>0.85</v>
      </c>
      <c r="E5">
        <v>0.85</v>
      </c>
      <c r="F5">
        <v>0.85</v>
      </c>
      <c r="G5">
        <v>0.85</v>
      </c>
      <c r="H5">
        <v>0.85</v>
      </c>
      <c r="I5">
        <v>0.85</v>
      </c>
      <c r="J5">
        <v>0.85</v>
      </c>
      <c r="K5">
        <v>0.85</v>
      </c>
      <c r="L5">
        <v>0.85</v>
      </c>
      <c r="M5" s="8">
        <v>0.85</v>
      </c>
      <c r="N5" s="1">
        <v>0.85</v>
      </c>
    </row>
    <row r="6" spans="1:24" x14ac:dyDescent="0.4">
      <c r="A6" s="7" t="s">
        <v>18</v>
      </c>
      <c r="B6">
        <f>B4*B5</f>
        <v>57800</v>
      </c>
      <c r="C6">
        <f t="shared" ref="C6:N6" si="0">C4*C5</f>
        <v>51850</v>
      </c>
      <c r="D6">
        <f t="shared" si="0"/>
        <v>56100</v>
      </c>
      <c r="E6">
        <f t="shared" si="0"/>
        <v>53550</v>
      </c>
      <c r="F6">
        <f t="shared" si="0"/>
        <v>55250</v>
      </c>
      <c r="G6">
        <f t="shared" si="0"/>
        <v>54400</v>
      </c>
      <c r="H6">
        <f t="shared" si="0"/>
        <v>54400</v>
      </c>
      <c r="I6">
        <f t="shared" si="0"/>
        <v>52700</v>
      </c>
      <c r="J6">
        <f t="shared" si="0"/>
        <v>51000</v>
      </c>
      <c r="K6">
        <f t="shared" si="0"/>
        <v>57800</v>
      </c>
      <c r="L6">
        <f t="shared" si="0"/>
        <v>55250</v>
      </c>
      <c r="M6" s="8">
        <f t="shared" si="0"/>
        <v>57800</v>
      </c>
      <c r="N6" s="1">
        <f t="shared" si="0"/>
        <v>657900</v>
      </c>
      <c r="P6" t="s">
        <v>53</v>
      </c>
    </row>
    <row r="7" spans="1:24" ht="15" thickBot="1" x14ac:dyDescent="0.45">
      <c r="A7" s="7" t="s">
        <v>20</v>
      </c>
      <c r="B7">
        <v>31</v>
      </c>
      <c r="C7">
        <v>28</v>
      </c>
      <c r="D7">
        <v>31</v>
      </c>
      <c r="E7">
        <v>30</v>
      </c>
      <c r="F7">
        <v>31</v>
      </c>
      <c r="G7">
        <v>30</v>
      </c>
      <c r="H7">
        <v>31</v>
      </c>
      <c r="I7">
        <v>31</v>
      </c>
      <c r="J7">
        <v>30</v>
      </c>
      <c r="K7">
        <v>31</v>
      </c>
      <c r="L7">
        <v>30</v>
      </c>
      <c r="M7" s="8">
        <v>31</v>
      </c>
    </row>
    <row r="8" spans="1:24" ht="15" thickBot="1" x14ac:dyDescent="0.45">
      <c r="A8" s="22" t="s">
        <v>50</v>
      </c>
      <c r="B8" s="19">
        <f>B6/B7</f>
        <v>1864.516129032258</v>
      </c>
      <c r="C8" s="20">
        <f t="shared" ref="C8:M8" si="1">C6/C7</f>
        <v>1851.7857142857142</v>
      </c>
      <c r="D8" s="20">
        <f t="shared" si="1"/>
        <v>1809.6774193548388</v>
      </c>
      <c r="E8" s="20">
        <f t="shared" si="1"/>
        <v>1785</v>
      </c>
      <c r="F8" s="20">
        <f t="shared" si="1"/>
        <v>1782.258064516129</v>
      </c>
      <c r="G8" s="20">
        <f t="shared" si="1"/>
        <v>1813.3333333333333</v>
      </c>
      <c r="H8" s="20">
        <f t="shared" si="1"/>
        <v>1754.8387096774193</v>
      </c>
      <c r="I8" s="20">
        <f t="shared" si="1"/>
        <v>1700</v>
      </c>
      <c r="J8" s="20">
        <f t="shared" si="1"/>
        <v>1700</v>
      </c>
      <c r="K8" s="20">
        <f t="shared" si="1"/>
        <v>1864.516129032258</v>
      </c>
      <c r="L8" s="20">
        <f t="shared" si="1"/>
        <v>1841.6666666666667</v>
      </c>
      <c r="M8" s="21">
        <f t="shared" si="1"/>
        <v>1864.516129032258</v>
      </c>
    </row>
    <row r="9" spans="1:24" x14ac:dyDescent="0.4">
      <c r="A9" s="7" t="s">
        <v>32</v>
      </c>
      <c r="B9" s="2">
        <v>7</v>
      </c>
      <c r="C9" s="2">
        <v>7</v>
      </c>
      <c r="D9" s="2">
        <v>7</v>
      </c>
      <c r="E9" s="2">
        <v>7</v>
      </c>
      <c r="F9" s="2">
        <v>7</v>
      </c>
      <c r="G9" s="2">
        <v>7</v>
      </c>
      <c r="H9" s="2">
        <v>7</v>
      </c>
      <c r="I9" s="2">
        <v>7</v>
      </c>
      <c r="J9" s="2">
        <v>7</v>
      </c>
      <c r="K9" s="2">
        <v>7</v>
      </c>
      <c r="L9" s="2">
        <v>7</v>
      </c>
      <c r="M9" s="9">
        <v>7</v>
      </c>
      <c r="P9" s="15">
        <f>N6+N24</f>
        <v>1372271</v>
      </c>
      <c r="Q9" t="s">
        <v>43</v>
      </c>
    </row>
    <row r="10" spans="1:24" x14ac:dyDescent="0.4">
      <c r="A10" s="7" t="s">
        <v>33</v>
      </c>
      <c r="B10" s="2">
        <f>B8/B9</f>
        <v>266.35944700460828</v>
      </c>
      <c r="C10" s="2">
        <f t="shared" ref="C10:M10" si="2">C8/C9</f>
        <v>264.5408163265306</v>
      </c>
      <c r="D10" s="2">
        <f t="shared" si="2"/>
        <v>258.5253456221198</v>
      </c>
      <c r="E10" s="2">
        <f t="shared" si="2"/>
        <v>255</v>
      </c>
      <c r="F10" s="2">
        <f t="shared" si="2"/>
        <v>254.60829493087559</v>
      </c>
      <c r="G10" s="2">
        <f t="shared" si="2"/>
        <v>259.04761904761904</v>
      </c>
      <c r="H10" s="2">
        <f t="shared" si="2"/>
        <v>250.69124423963132</v>
      </c>
      <c r="I10" s="2">
        <f t="shared" si="2"/>
        <v>242.85714285714286</v>
      </c>
      <c r="J10" s="2">
        <f t="shared" si="2"/>
        <v>242.85714285714286</v>
      </c>
      <c r="K10" s="2">
        <f t="shared" si="2"/>
        <v>266.35944700460828</v>
      </c>
      <c r="L10" s="2">
        <f t="shared" si="2"/>
        <v>263.09523809523813</v>
      </c>
      <c r="M10" s="9">
        <f t="shared" si="2"/>
        <v>266.35944700460828</v>
      </c>
    </row>
    <row r="11" spans="1:24" x14ac:dyDescent="0.4">
      <c r="A11" s="10" t="s">
        <v>31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8"/>
    </row>
    <row r="12" spans="1:24" ht="15" thickBot="1" x14ac:dyDescent="0.45">
      <c r="A12" s="11" t="s">
        <v>36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  <c r="P12" t="s">
        <v>44</v>
      </c>
    </row>
    <row r="13" spans="1:24" x14ac:dyDescent="0.4">
      <c r="P13" t="s">
        <v>45</v>
      </c>
    </row>
    <row r="14" spans="1:24" ht="15" thickBot="1" x14ac:dyDescent="0.45">
      <c r="P14" t="s">
        <v>46</v>
      </c>
    </row>
    <row r="15" spans="1:24" x14ac:dyDescent="0.4">
      <c r="A15" s="4" t="s">
        <v>2</v>
      </c>
      <c r="B15" s="5" t="s">
        <v>5</v>
      </c>
      <c r="C15" s="5" t="s">
        <v>6</v>
      </c>
      <c r="D15" s="5" t="s">
        <v>7</v>
      </c>
      <c r="E15" s="5" t="s">
        <v>8</v>
      </c>
      <c r="F15" s="5" t="s">
        <v>9</v>
      </c>
      <c r="G15" s="5" t="s">
        <v>10</v>
      </c>
      <c r="H15" s="5" t="s">
        <v>11</v>
      </c>
      <c r="I15" s="5" t="s">
        <v>12</v>
      </c>
      <c r="J15" s="5" t="s">
        <v>13</v>
      </c>
      <c r="K15" s="5" t="s">
        <v>14</v>
      </c>
      <c r="L15" s="5" t="s">
        <v>15</v>
      </c>
      <c r="M15" s="6" t="s">
        <v>16</v>
      </c>
    </row>
    <row r="16" spans="1:24" x14ac:dyDescent="0.4">
      <c r="A16" s="7" t="s">
        <v>3</v>
      </c>
      <c r="B16">
        <v>550</v>
      </c>
      <c r="C16">
        <v>300</v>
      </c>
      <c r="D16">
        <v>6200</v>
      </c>
      <c r="E16">
        <v>7600</v>
      </c>
      <c r="F16">
        <v>8000</v>
      </c>
      <c r="G16">
        <v>3500</v>
      </c>
      <c r="H16">
        <v>6000</v>
      </c>
      <c r="I16">
        <v>6500</v>
      </c>
      <c r="J16">
        <v>6000</v>
      </c>
      <c r="K16">
        <v>4600</v>
      </c>
      <c r="L16">
        <v>4800</v>
      </c>
      <c r="M16" s="8">
        <v>2600</v>
      </c>
      <c r="N16" s="1">
        <f>SUM(B16:M16)</f>
        <v>56650</v>
      </c>
      <c r="P16" s="1" t="s">
        <v>47</v>
      </c>
      <c r="Q16" s="1"/>
      <c r="R16" s="1"/>
      <c r="S16" s="1"/>
      <c r="T16" s="1"/>
      <c r="U16" s="1"/>
      <c r="V16" s="1"/>
      <c r="W16" s="1"/>
      <c r="X16" s="1"/>
    </row>
    <row r="17" spans="1:16" x14ac:dyDescent="0.4">
      <c r="A17" s="7" t="s">
        <v>22</v>
      </c>
      <c r="B17">
        <v>0</v>
      </c>
      <c r="C17">
        <v>0</v>
      </c>
      <c r="D17">
        <v>16000</v>
      </c>
      <c r="E17">
        <v>14500</v>
      </c>
      <c r="F17">
        <v>14000</v>
      </c>
      <c r="G17">
        <v>11300</v>
      </c>
      <c r="H17">
        <v>13400</v>
      </c>
      <c r="I17">
        <v>7600</v>
      </c>
      <c r="J17">
        <v>8000</v>
      </c>
      <c r="K17">
        <v>7000</v>
      </c>
      <c r="L17">
        <v>9000</v>
      </c>
      <c r="M17" s="8">
        <v>6000</v>
      </c>
      <c r="N17" s="1">
        <f t="shared" ref="N17:N22" si="3">SUM(B17:M17)</f>
        <v>106800</v>
      </c>
    </row>
    <row r="18" spans="1:16" x14ac:dyDescent="0.4">
      <c r="A18" s="7" t="s">
        <v>23</v>
      </c>
      <c r="B18">
        <v>22000</v>
      </c>
      <c r="C18">
        <v>22300</v>
      </c>
      <c r="D18">
        <v>15000</v>
      </c>
      <c r="E18">
        <v>15000</v>
      </c>
      <c r="F18">
        <v>19700</v>
      </c>
      <c r="G18">
        <v>13000</v>
      </c>
      <c r="H18">
        <v>17500</v>
      </c>
      <c r="I18">
        <v>13300</v>
      </c>
      <c r="J18">
        <v>16000</v>
      </c>
      <c r="K18">
        <v>16600</v>
      </c>
      <c r="L18">
        <v>23000</v>
      </c>
      <c r="M18" s="8">
        <v>13000</v>
      </c>
      <c r="N18" s="1">
        <f t="shared" si="3"/>
        <v>206400</v>
      </c>
      <c r="P18" t="s">
        <v>49</v>
      </c>
    </row>
    <row r="19" spans="1:16" x14ac:dyDescent="0.4">
      <c r="A19" s="7" t="s">
        <v>24</v>
      </c>
      <c r="B19">
        <v>2800</v>
      </c>
      <c r="C19">
        <v>500</v>
      </c>
      <c r="D19">
        <v>1700</v>
      </c>
      <c r="E19">
        <v>4200</v>
      </c>
      <c r="F19">
        <v>9000</v>
      </c>
      <c r="G19">
        <v>14500</v>
      </c>
      <c r="H19">
        <v>11000</v>
      </c>
      <c r="I19">
        <v>13000</v>
      </c>
      <c r="J19">
        <v>14500</v>
      </c>
      <c r="K19">
        <v>7000</v>
      </c>
      <c r="L19">
        <v>2500</v>
      </c>
      <c r="M19" s="8">
        <v>2900</v>
      </c>
      <c r="N19" s="1">
        <f t="shared" si="3"/>
        <v>83600</v>
      </c>
    </row>
    <row r="20" spans="1:16" x14ac:dyDescent="0.4">
      <c r="A20" s="7" t="s">
        <v>25</v>
      </c>
      <c r="B20">
        <v>8200</v>
      </c>
      <c r="C20">
        <v>9700</v>
      </c>
      <c r="D20">
        <v>17200</v>
      </c>
      <c r="E20">
        <v>17100</v>
      </c>
      <c r="F20">
        <v>17400</v>
      </c>
      <c r="G20">
        <v>14400</v>
      </c>
      <c r="H20">
        <v>17000</v>
      </c>
      <c r="I20">
        <v>16000</v>
      </c>
      <c r="J20">
        <v>17000</v>
      </c>
      <c r="K20">
        <v>16700</v>
      </c>
      <c r="L20">
        <v>12600</v>
      </c>
      <c r="M20" s="8">
        <v>7500</v>
      </c>
      <c r="N20" s="1">
        <f t="shared" si="3"/>
        <v>170800</v>
      </c>
    </row>
    <row r="21" spans="1:16" x14ac:dyDescent="0.4">
      <c r="A21" s="7" t="s">
        <v>26</v>
      </c>
      <c r="B21">
        <v>3200</v>
      </c>
      <c r="C21">
        <v>6200</v>
      </c>
      <c r="D21">
        <v>14000</v>
      </c>
      <c r="E21">
        <v>10600</v>
      </c>
      <c r="F21">
        <v>10600</v>
      </c>
      <c r="G21">
        <v>8400</v>
      </c>
      <c r="H21">
        <v>10300</v>
      </c>
      <c r="I21">
        <v>9600</v>
      </c>
      <c r="J21">
        <v>7900</v>
      </c>
      <c r="K21">
        <v>12600</v>
      </c>
      <c r="L21">
        <v>8100</v>
      </c>
      <c r="M21" s="8">
        <v>3200</v>
      </c>
      <c r="N21" s="1">
        <f t="shared" si="3"/>
        <v>104700</v>
      </c>
    </row>
    <row r="22" spans="1:16" x14ac:dyDescent="0.4">
      <c r="A22" s="7" t="s">
        <v>27</v>
      </c>
      <c r="B22">
        <f>SUM(B16:B21)</f>
        <v>36750</v>
      </c>
      <c r="C22">
        <f t="shared" ref="C22:M22" si="4">SUM(C16:C21)</f>
        <v>39000</v>
      </c>
      <c r="D22">
        <f t="shared" si="4"/>
        <v>70100</v>
      </c>
      <c r="E22">
        <f t="shared" si="4"/>
        <v>69000</v>
      </c>
      <c r="F22">
        <f t="shared" si="4"/>
        <v>78700</v>
      </c>
      <c r="G22">
        <f t="shared" si="4"/>
        <v>65100</v>
      </c>
      <c r="H22">
        <f t="shared" si="4"/>
        <v>75200</v>
      </c>
      <c r="I22">
        <f t="shared" si="4"/>
        <v>66000</v>
      </c>
      <c r="J22">
        <f t="shared" si="4"/>
        <v>69400</v>
      </c>
      <c r="K22">
        <f t="shared" si="4"/>
        <v>64500</v>
      </c>
      <c r="L22">
        <f t="shared" si="4"/>
        <v>60000</v>
      </c>
      <c r="M22" s="8">
        <f t="shared" si="4"/>
        <v>35200</v>
      </c>
      <c r="N22" s="1">
        <f t="shared" si="3"/>
        <v>728950</v>
      </c>
    </row>
    <row r="23" spans="1:16" x14ac:dyDescent="0.4">
      <c r="A23" s="7" t="s">
        <v>28</v>
      </c>
      <c r="B23">
        <v>0.98</v>
      </c>
      <c r="C23">
        <v>0.98</v>
      </c>
      <c r="D23">
        <v>0.98</v>
      </c>
      <c r="E23">
        <v>0.98</v>
      </c>
      <c r="F23">
        <v>0.98</v>
      </c>
      <c r="G23">
        <v>0.98</v>
      </c>
      <c r="H23">
        <v>0.98</v>
      </c>
      <c r="I23">
        <v>0.98</v>
      </c>
      <c r="J23">
        <v>0.98</v>
      </c>
      <c r="K23">
        <v>0.98</v>
      </c>
      <c r="L23">
        <v>0.98</v>
      </c>
      <c r="M23" s="8">
        <v>0.98</v>
      </c>
    </row>
    <row r="24" spans="1:16" x14ac:dyDescent="0.4">
      <c r="A24" s="7" t="s">
        <v>29</v>
      </c>
      <c r="B24">
        <f>B22*B23</f>
        <v>36015</v>
      </c>
      <c r="C24">
        <f t="shared" ref="C24:M24" si="5">C22*C23</f>
        <v>38220</v>
      </c>
      <c r="D24">
        <f t="shared" si="5"/>
        <v>68698</v>
      </c>
      <c r="E24">
        <f t="shared" si="5"/>
        <v>67620</v>
      </c>
      <c r="F24">
        <f t="shared" si="5"/>
        <v>77126</v>
      </c>
      <c r="G24">
        <f t="shared" si="5"/>
        <v>63798</v>
      </c>
      <c r="H24">
        <f t="shared" si="5"/>
        <v>73696</v>
      </c>
      <c r="I24">
        <f t="shared" si="5"/>
        <v>64680</v>
      </c>
      <c r="J24">
        <f t="shared" si="5"/>
        <v>68012</v>
      </c>
      <c r="K24">
        <f t="shared" si="5"/>
        <v>63210</v>
      </c>
      <c r="L24">
        <f t="shared" si="5"/>
        <v>58800</v>
      </c>
      <c r="M24" s="8">
        <f t="shared" si="5"/>
        <v>34496</v>
      </c>
      <c r="N24" s="1">
        <f>SUM(B24:M24)</f>
        <v>714371</v>
      </c>
    </row>
    <row r="25" spans="1:16" ht="15" thickBot="1" x14ac:dyDescent="0.45">
      <c r="A25" s="7" t="s">
        <v>20</v>
      </c>
      <c r="B25">
        <v>21</v>
      </c>
      <c r="C25">
        <v>20</v>
      </c>
      <c r="D25">
        <v>21</v>
      </c>
      <c r="E25">
        <v>21</v>
      </c>
      <c r="F25">
        <v>21</v>
      </c>
      <c r="G25">
        <v>21</v>
      </c>
      <c r="H25">
        <v>21</v>
      </c>
      <c r="I25">
        <v>21</v>
      </c>
      <c r="J25">
        <v>21</v>
      </c>
      <c r="K25">
        <v>21</v>
      </c>
      <c r="L25">
        <v>21</v>
      </c>
      <c r="M25" s="8">
        <v>21</v>
      </c>
    </row>
    <row r="26" spans="1:16" ht="15" thickBot="1" x14ac:dyDescent="0.45">
      <c r="A26" s="22" t="s">
        <v>51</v>
      </c>
      <c r="B26" s="19">
        <f>B24/B25</f>
        <v>1715</v>
      </c>
      <c r="C26" s="20">
        <f t="shared" ref="C26:M26" si="6">C24/C25</f>
        <v>1911</v>
      </c>
      <c r="D26" s="20">
        <f t="shared" si="6"/>
        <v>3271.3333333333335</v>
      </c>
      <c r="E26" s="20">
        <f t="shared" si="6"/>
        <v>3220</v>
      </c>
      <c r="F26" s="20">
        <f t="shared" si="6"/>
        <v>3672.6666666666665</v>
      </c>
      <c r="G26" s="20">
        <f t="shared" si="6"/>
        <v>3038</v>
      </c>
      <c r="H26" s="20">
        <f t="shared" si="6"/>
        <v>3509.3333333333335</v>
      </c>
      <c r="I26" s="20">
        <f t="shared" si="6"/>
        <v>3080</v>
      </c>
      <c r="J26" s="20">
        <f t="shared" si="6"/>
        <v>3238.6666666666665</v>
      </c>
      <c r="K26" s="20">
        <f t="shared" si="6"/>
        <v>3010</v>
      </c>
      <c r="L26" s="20">
        <f t="shared" si="6"/>
        <v>2800</v>
      </c>
      <c r="M26" s="21">
        <f t="shared" si="6"/>
        <v>1642.6666666666667</v>
      </c>
      <c r="N26" s="2">
        <f>SUM(B26:M26)</f>
        <v>34108.666666666664</v>
      </c>
    </row>
    <row r="27" spans="1:16" x14ac:dyDescent="0.4">
      <c r="A27" s="7" t="s">
        <v>32</v>
      </c>
      <c r="B27" s="2">
        <v>15</v>
      </c>
      <c r="C27" s="2">
        <v>15</v>
      </c>
      <c r="D27" s="2">
        <v>15</v>
      </c>
      <c r="E27" s="2">
        <v>15</v>
      </c>
      <c r="F27" s="2">
        <v>15</v>
      </c>
      <c r="G27" s="2">
        <v>15</v>
      </c>
      <c r="H27" s="2">
        <v>15</v>
      </c>
      <c r="I27" s="2">
        <v>15</v>
      </c>
      <c r="J27" s="2">
        <v>15</v>
      </c>
      <c r="K27" s="2">
        <v>15</v>
      </c>
      <c r="L27" s="2">
        <v>15</v>
      </c>
      <c r="M27" s="9">
        <v>15</v>
      </c>
    </row>
    <row r="28" spans="1:16" x14ac:dyDescent="0.4">
      <c r="A28" s="7" t="s">
        <v>33</v>
      </c>
      <c r="B28" s="2">
        <f>B26/B27</f>
        <v>114.33333333333333</v>
      </c>
      <c r="C28" s="2">
        <f t="shared" ref="C28:M28" si="7">C26/C27</f>
        <v>127.4</v>
      </c>
      <c r="D28" s="2">
        <f t="shared" si="7"/>
        <v>218.0888888888889</v>
      </c>
      <c r="E28" s="2">
        <f t="shared" si="7"/>
        <v>214.66666666666666</v>
      </c>
      <c r="F28" s="2">
        <f t="shared" si="7"/>
        <v>244.84444444444443</v>
      </c>
      <c r="G28" s="2">
        <f t="shared" si="7"/>
        <v>202.53333333333333</v>
      </c>
      <c r="H28" s="2">
        <f t="shared" si="7"/>
        <v>233.95555555555558</v>
      </c>
      <c r="I28" s="2">
        <f t="shared" si="7"/>
        <v>205.33333333333334</v>
      </c>
      <c r="J28" s="2">
        <f t="shared" si="7"/>
        <v>215.9111111111111</v>
      </c>
      <c r="K28" s="2">
        <f t="shared" si="7"/>
        <v>200.66666666666666</v>
      </c>
      <c r="L28" s="2">
        <f t="shared" si="7"/>
        <v>186.66666666666666</v>
      </c>
      <c r="M28" s="9">
        <f t="shared" si="7"/>
        <v>109.51111111111112</v>
      </c>
    </row>
    <row r="29" spans="1:16" x14ac:dyDescent="0.4">
      <c r="A29" s="10" t="s">
        <v>30</v>
      </c>
      <c r="B29" s="3"/>
      <c r="C29" s="3"/>
      <c r="D29" s="3"/>
      <c r="E29" s="3"/>
      <c r="F29" s="3"/>
      <c r="G29" s="3"/>
      <c r="H29" s="3"/>
      <c r="I29" s="3"/>
      <c r="M29" s="8"/>
    </row>
    <row r="30" spans="1:16" x14ac:dyDescent="0.4">
      <c r="A30" s="10" t="s">
        <v>34</v>
      </c>
      <c r="B30" s="3"/>
      <c r="C30" s="3"/>
      <c r="D30" s="3"/>
      <c r="E30" s="3"/>
      <c r="F30" s="3"/>
      <c r="G30" s="3"/>
      <c r="H30" s="3"/>
      <c r="I30" s="3"/>
      <c r="M30" s="8"/>
    </row>
    <row r="31" spans="1:16" ht="15" thickBot="1" x14ac:dyDescent="0.45">
      <c r="A31" s="11" t="s">
        <v>35</v>
      </c>
      <c r="B31" s="12"/>
      <c r="C31" s="12"/>
      <c r="D31" s="12"/>
      <c r="E31" s="12"/>
      <c r="F31" s="12"/>
      <c r="G31" s="12"/>
      <c r="H31" s="12"/>
      <c r="I31" s="12"/>
      <c r="J31" s="14"/>
      <c r="K31" s="14"/>
      <c r="L31" s="14"/>
      <c r="M31" s="13"/>
    </row>
    <row r="35" spans="1:15" ht="15" thickBot="1" x14ac:dyDescent="0.45">
      <c r="A35" s="3" t="s">
        <v>4</v>
      </c>
    </row>
    <row r="36" spans="1:15" x14ac:dyDescent="0.4">
      <c r="A36" s="3" t="s">
        <v>37</v>
      </c>
      <c r="B36" s="5" t="s">
        <v>5</v>
      </c>
      <c r="C36" s="5" t="s">
        <v>6</v>
      </c>
      <c r="D36" s="5" t="s">
        <v>7</v>
      </c>
      <c r="E36" s="5" t="s">
        <v>8</v>
      </c>
      <c r="F36" s="5" t="s">
        <v>9</v>
      </c>
      <c r="G36" s="5" t="s">
        <v>10</v>
      </c>
      <c r="H36" s="5" t="s">
        <v>11</v>
      </c>
      <c r="I36" s="5" t="s">
        <v>12</v>
      </c>
      <c r="J36" s="5" t="s">
        <v>13</v>
      </c>
      <c r="K36" s="5" t="s">
        <v>14</v>
      </c>
      <c r="L36" s="5" t="s">
        <v>15</v>
      </c>
      <c r="M36" s="6" t="s">
        <v>16</v>
      </c>
      <c r="O36" t="s">
        <v>40</v>
      </c>
    </row>
    <row r="37" spans="1:15" x14ac:dyDescent="0.4">
      <c r="A37" t="s">
        <v>38</v>
      </c>
      <c r="B37">
        <v>3900</v>
      </c>
      <c r="C37">
        <v>5800</v>
      </c>
      <c r="D37">
        <v>7300</v>
      </c>
      <c r="E37">
        <v>6000</v>
      </c>
      <c r="F37">
        <v>6800</v>
      </c>
      <c r="G37">
        <v>6100</v>
      </c>
      <c r="H37">
        <v>6100</v>
      </c>
      <c r="I37">
        <v>6400</v>
      </c>
      <c r="J37">
        <v>7400</v>
      </c>
      <c r="K37">
        <v>6000</v>
      </c>
      <c r="L37">
        <v>6300</v>
      </c>
      <c r="M37">
        <v>3300</v>
      </c>
    </row>
    <row r="38" spans="1:15" x14ac:dyDescent="0.4">
      <c r="A38" t="s">
        <v>39</v>
      </c>
      <c r="B38">
        <v>2100</v>
      </c>
      <c r="C38">
        <v>6900</v>
      </c>
      <c r="D38">
        <v>18800</v>
      </c>
      <c r="E38">
        <v>17900</v>
      </c>
      <c r="F38">
        <v>19600</v>
      </c>
      <c r="G38">
        <v>17000</v>
      </c>
      <c r="H38">
        <v>17400</v>
      </c>
      <c r="I38">
        <v>17500</v>
      </c>
      <c r="J38">
        <v>18500</v>
      </c>
      <c r="K38">
        <v>18100</v>
      </c>
      <c r="L38">
        <v>17300</v>
      </c>
      <c r="M38">
        <v>7700</v>
      </c>
    </row>
    <row r="39" spans="1:15" x14ac:dyDescent="0.4">
      <c r="A39" s="7" t="s">
        <v>27</v>
      </c>
      <c r="B39">
        <f>SUM(B37:B38)</f>
        <v>6000</v>
      </c>
      <c r="C39">
        <f t="shared" ref="C39:M39" si="8">SUM(C37:C38)</f>
        <v>12700</v>
      </c>
      <c r="D39">
        <f t="shared" si="8"/>
        <v>26100</v>
      </c>
      <c r="E39">
        <f t="shared" si="8"/>
        <v>23900</v>
      </c>
      <c r="F39">
        <f t="shared" si="8"/>
        <v>26400</v>
      </c>
      <c r="G39">
        <f t="shared" si="8"/>
        <v>23100</v>
      </c>
      <c r="H39">
        <f t="shared" si="8"/>
        <v>23500</v>
      </c>
      <c r="I39">
        <f t="shared" si="8"/>
        <v>23900</v>
      </c>
      <c r="J39">
        <f t="shared" si="8"/>
        <v>25900</v>
      </c>
      <c r="K39">
        <f t="shared" si="8"/>
        <v>24100</v>
      </c>
      <c r="L39">
        <f t="shared" si="8"/>
        <v>23600</v>
      </c>
      <c r="M39">
        <f t="shared" si="8"/>
        <v>11000</v>
      </c>
    </row>
    <row r="40" spans="1:15" x14ac:dyDescent="0.4">
      <c r="A40" s="7" t="s">
        <v>28</v>
      </c>
      <c r="B40">
        <v>0.98</v>
      </c>
      <c r="C40">
        <v>0.98</v>
      </c>
      <c r="D40">
        <v>0.98</v>
      </c>
      <c r="E40">
        <v>0.98</v>
      </c>
      <c r="F40">
        <v>0.98</v>
      </c>
      <c r="G40">
        <v>0.98</v>
      </c>
      <c r="H40">
        <v>0.98</v>
      </c>
      <c r="I40">
        <v>0.98</v>
      </c>
      <c r="J40">
        <v>0.98</v>
      </c>
      <c r="K40">
        <v>0.98</v>
      </c>
      <c r="L40">
        <v>0.98</v>
      </c>
      <c r="M40">
        <v>0.98</v>
      </c>
    </row>
    <row r="41" spans="1:15" x14ac:dyDescent="0.4">
      <c r="A41" s="7" t="s">
        <v>29</v>
      </c>
      <c r="B41">
        <f>B39*B40</f>
        <v>5880</v>
      </c>
      <c r="C41">
        <f t="shared" ref="C41:M41" si="9">C39*C40</f>
        <v>12446</v>
      </c>
      <c r="D41">
        <f t="shared" si="9"/>
        <v>25578</v>
      </c>
      <c r="E41">
        <f t="shared" si="9"/>
        <v>23422</v>
      </c>
      <c r="F41">
        <f t="shared" si="9"/>
        <v>25872</v>
      </c>
      <c r="G41">
        <f t="shared" si="9"/>
        <v>22638</v>
      </c>
      <c r="H41">
        <f t="shared" si="9"/>
        <v>23030</v>
      </c>
      <c r="I41">
        <f t="shared" si="9"/>
        <v>23422</v>
      </c>
      <c r="J41">
        <f t="shared" si="9"/>
        <v>25382</v>
      </c>
      <c r="K41">
        <f t="shared" si="9"/>
        <v>23618</v>
      </c>
      <c r="L41">
        <f t="shared" si="9"/>
        <v>23128</v>
      </c>
      <c r="M41">
        <f t="shared" si="9"/>
        <v>10780</v>
      </c>
    </row>
    <row r="42" spans="1:15" ht="15" thickBot="1" x14ac:dyDescent="0.45">
      <c r="A42" s="7" t="s">
        <v>20</v>
      </c>
      <c r="B42">
        <v>21</v>
      </c>
      <c r="C42">
        <v>20</v>
      </c>
      <c r="D42">
        <v>21</v>
      </c>
      <c r="E42">
        <v>21</v>
      </c>
      <c r="F42">
        <v>21</v>
      </c>
      <c r="G42">
        <v>21</v>
      </c>
      <c r="H42">
        <v>21</v>
      </c>
      <c r="I42">
        <v>21</v>
      </c>
      <c r="J42">
        <v>21</v>
      </c>
      <c r="K42">
        <v>21</v>
      </c>
      <c r="L42">
        <v>21</v>
      </c>
      <c r="M42" s="8">
        <v>21</v>
      </c>
    </row>
    <row r="43" spans="1:15" ht="15" thickBot="1" x14ac:dyDescent="0.45">
      <c r="A43" s="7" t="s">
        <v>52</v>
      </c>
      <c r="B43" s="16">
        <f>B41/B42</f>
        <v>280</v>
      </c>
      <c r="C43" s="17">
        <f t="shared" ref="C43:M43" si="10">C41/C42</f>
        <v>622.29999999999995</v>
      </c>
      <c r="D43" s="17">
        <f t="shared" si="10"/>
        <v>1218</v>
      </c>
      <c r="E43" s="17">
        <f t="shared" si="10"/>
        <v>1115.3333333333333</v>
      </c>
      <c r="F43" s="17">
        <f t="shared" si="10"/>
        <v>1232</v>
      </c>
      <c r="G43" s="17">
        <f t="shared" si="10"/>
        <v>1078</v>
      </c>
      <c r="H43" s="17">
        <f t="shared" si="10"/>
        <v>1096.6666666666667</v>
      </c>
      <c r="I43" s="17">
        <f t="shared" si="10"/>
        <v>1115.3333333333333</v>
      </c>
      <c r="J43" s="17">
        <f t="shared" si="10"/>
        <v>1208.6666666666667</v>
      </c>
      <c r="K43" s="17">
        <f t="shared" si="10"/>
        <v>1124.6666666666667</v>
      </c>
      <c r="L43" s="17">
        <f t="shared" si="10"/>
        <v>1101.3333333333333</v>
      </c>
      <c r="M43" s="18">
        <f t="shared" si="10"/>
        <v>513.33333333333337</v>
      </c>
    </row>
    <row r="44" spans="1:15" x14ac:dyDescent="0.4">
      <c r="A44" s="7" t="s">
        <v>32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</row>
    <row r="45" spans="1:15" x14ac:dyDescent="0.4">
      <c r="A45" s="7" t="s">
        <v>33</v>
      </c>
      <c r="B45" s="2">
        <f>B43/B44</f>
        <v>70</v>
      </c>
      <c r="C45" s="2">
        <f t="shared" ref="C45:M45" si="11">C43/C44</f>
        <v>155.57499999999999</v>
      </c>
      <c r="D45" s="2">
        <f t="shared" si="11"/>
        <v>304.5</v>
      </c>
      <c r="E45" s="2">
        <f t="shared" si="11"/>
        <v>278.83333333333331</v>
      </c>
      <c r="F45" s="2">
        <f t="shared" si="11"/>
        <v>308</v>
      </c>
      <c r="G45" s="2">
        <f t="shared" si="11"/>
        <v>269.5</v>
      </c>
      <c r="H45" s="2">
        <f t="shared" si="11"/>
        <v>274.16666666666669</v>
      </c>
      <c r="I45" s="2">
        <f t="shared" si="11"/>
        <v>278.83333333333331</v>
      </c>
      <c r="J45" s="2">
        <f t="shared" si="11"/>
        <v>302.16666666666669</v>
      </c>
      <c r="K45" s="2">
        <f t="shared" si="11"/>
        <v>281.16666666666669</v>
      </c>
      <c r="L45" s="2">
        <f t="shared" si="11"/>
        <v>275.33333333333331</v>
      </c>
      <c r="M45" s="2">
        <f t="shared" si="11"/>
        <v>128.33333333333334</v>
      </c>
    </row>
    <row r="53" spans="1:15" ht="15" thickBot="1" x14ac:dyDescent="0.45"/>
    <row r="54" spans="1:15" x14ac:dyDescent="0.4">
      <c r="A54" s="4"/>
      <c r="B54" s="5" t="s">
        <v>9</v>
      </c>
      <c r="C54" s="5" t="s">
        <v>10</v>
      </c>
      <c r="D54" s="5" t="s">
        <v>11</v>
      </c>
      <c r="E54" s="5" t="s">
        <v>12</v>
      </c>
      <c r="F54" s="5" t="s">
        <v>13</v>
      </c>
      <c r="G54" s="5" t="s">
        <v>14</v>
      </c>
      <c r="H54" s="5" t="s">
        <v>15</v>
      </c>
      <c r="I54" s="5" t="s">
        <v>16</v>
      </c>
      <c r="J54" s="5" t="s">
        <v>5</v>
      </c>
      <c r="K54" s="5" t="s">
        <v>6</v>
      </c>
      <c r="L54" s="5" t="s">
        <v>7</v>
      </c>
      <c r="M54" s="5" t="s">
        <v>8</v>
      </c>
      <c r="N54" s="5" t="s">
        <v>9</v>
      </c>
      <c r="O54" s="6" t="s">
        <v>10</v>
      </c>
    </row>
    <row r="55" spans="1:15" ht="15" thickBot="1" x14ac:dyDescent="0.45">
      <c r="A55" s="23" t="s">
        <v>48</v>
      </c>
      <c r="B55" s="14">
        <v>27370</v>
      </c>
      <c r="C55" s="14">
        <v>31620</v>
      </c>
      <c r="D55" s="14">
        <v>32490</v>
      </c>
      <c r="E55" s="14">
        <v>25660</v>
      </c>
      <c r="F55" s="14">
        <v>17450</v>
      </c>
      <c r="G55" s="14">
        <v>13860</v>
      </c>
      <c r="H55" s="14">
        <v>5990</v>
      </c>
      <c r="I55" s="14">
        <v>3240</v>
      </c>
      <c r="J55" s="14">
        <v>4060</v>
      </c>
      <c r="K55" s="14">
        <v>9900</v>
      </c>
      <c r="L55" s="14">
        <v>17700</v>
      </c>
      <c r="M55" s="14">
        <v>19220</v>
      </c>
      <c r="N55" s="14">
        <v>27880</v>
      </c>
      <c r="O55" s="13">
        <v>29920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Schlager GmbH: Hubert Schlager</dc:creator>
  <cp:lastModifiedBy>ACER</cp:lastModifiedBy>
  <dcterms:created xsi:type="dcterms:W3CDTF">2023-07-13T10:27:49Z</dcterms:created>
  <dcterms:modified xsi:type="dcterms:W3CDTF">2023-08-28T15:54:06Z</dcterms:modified>
</cp:coreProperties>
</file>